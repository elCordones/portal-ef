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lumnes_Criteris_Quadern" sheetId="1" r:id="rId1"/>
    <sheet name="Rubrica_Completa" sheetId="2" r:id="rId2"/>
    <sheet name="Cataleg_Criteris" sheetId="3" r:id="rId3"/>
    <sheet name="Plantilla_Buida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6"/>
  <sheetViews>
    <sheetView workbookViewId="0"/>
  </sheetViews>
  <cols>
    <col min="1" max="1" width="28.83203125" customWidth="1"/>
    <col min="2" max="2" width="30.83203125" customWidth="1"/>
    <col min="3" max="3" width="32.83203125" customWidth="1"/>
    <col min="4" max="4" width="30.83203125" customWidth="1"/>
    <col min="5" max="5" width="30.83203125" customWidth="1"/>
    <col min="6" max="6" width="28.83203125" customWidth="1"/>
    <col min="7" max="7" width="26.83203125" customWidth="1"/>
    <col min="8" max="8" width="32.83203125" customWidth="1"/>
    <col min="9" max="9" width="24.83203125" customWidth="1"/>
    <col min="10" max="10" width="20.83203125" customWidth="1"/>
  </cols>
  <sheetData>
    <row r="1">
      <c r="A1" t="str">
        <v>Alumne/a</v>
      </c>
      <c r="B1" t="str">
        <v>1.1 Hàbits i Escalfament (10%)</v>
      </c>
      <c r="C1" t="str">
        <v>1.2 Autoregulació Ritme Borg (15%)</v>
      </c>
      <c r="D1" t="str">
        <v>2.1 Cursa, Relleus i Salts (20%)</v>
      </c>
      <c r="E1" t="str">
        <v>2.2 Llançaments i Paràbola (15%)</v>
      </c>
      <c r="F1" t="str">
        <v>3.1 Cooperació i Joc Net (15%)</v>
      </c>
      <c r="G1" t="str">
        <v>3.2 Gestió de la Por (10%)</v>
      </c>
      <c r="H1" t="str">
        <v>4.1 Para-Atletisme i Inclusió (15%)</v>
      </c>
      <c r="I1" t="str">
        <v>Mitjana Ponderada (1 a 4)</v>
      </c>
      <c r="J1" t="str">
        <v>Qualificació Oficial</v>
      </c>
    </row>
    <row r="2">
      <c r="A2" t="str">
        <v>Alumne 1 (5è - TEA)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>
        <f>ROUND(B2*0.10 + C2*0.15 + D2*0.20 + E2*0.15 + F2*0.15 + G2*0.10 + H2*0.15, 2)</f>
      </c>
      <c r="J2">
        <f>IF(I2&gt;=3.5, "AE", IF(I2&gt;=2.8, "AN", IF(I2&gt;=2.0, "AS", IF(I2&gt;0, "NA", ""))))</f>
      </c>
    </row>
    <row r="3">
      <c r="A3" t="str">
        <v>Alumne 2 (6è - TDAH)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>
        <f>ROUND(B3*0.10 + C3*0.15 + D3*0.20 + E3*0.15 + F3*0.15 + G3*0.10 + H3*0.15, 2)</f>
      </c>
      <c r="J3">
        <f>IF(I3&gt;=3.5, "AE", IF(I3&gt;=2.8, "AN", IF(I3&gt;=2.0, "AS", IF(I3&gt;0, "NA", ""))))</f>
      </c>
    </row>
    <row r="4">
      <c r="A4" t="str">
        <v>Alumne 3 (5è)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>
        <f>ROUND(B4*0.10 + C4*0.15 + D4*0.20 + E4*0.15 + F4*0.15 + G4*0.10 + H4*0.15, 2)</f>
      </c>
      <c r="J4">
        <f>IF(I4&gt;=3.5, "AE", IF(I4&gt;=2.8, "AN", IF(I4&gt;=2.0, "AS", IF(I4&gt;0, "NA", ""))))</f>
      </c>
    </row>
    <row r="5">
      <c r="A5" t="str">
        <v>Alumne 4 (6è)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>
        <f>ROUND(B5*0.10 + C5*0.15 + D5*0.20 + E5*0.15 + F5*0.15 + G5*0.10 + H5*0.15, 2)</f>
      </c>
      <c r="J5">
        <f>IF(I5&gt;=3.5, "AE", IF(I5&gt;=2.8, "AN", IF(I5&gt;=2.0, "AS", IF(I5&gt;0, "NA", ""))))</f>
      </c>
    </row>
    <row r="6">
      <c r="A6" t="str">
        <v>Alumne 5 (5è)</v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>
        <f>ROUND(B6*0.10 + C6*0.15 + D6*0.20 + E6*0.15 + F6*0.15 + G6*0.10 + H6*0.15, 2)</f>
      </c>
      <c r="J6">
        <f>IF(I6&gt;=3.5, "AE", IF(I6&gt;=2.8, "AN", IF(I6&gt;=2.0, "AS", IF(I6&gt;0, "NA", ""))))</f>
      </c>
    </row>
    <row r="7">
      <c r="A7" t="str">
        <v>Alumne 6 (5è - Francòfon)</v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>
        <f>ROUND(B7*0.10 + C7*0.15 + D7*0.20 + E7*0.15 + F7*0.15 + G7*0.10 + H7*0.15, 2)</f>
      </c>
      <c r="J7">
        <f>IF(I7&gt;=3.5, "AE", IF(I7&gt;=2.8, "AN", IF(I7&gt;=2.0, "AS", IF(I7&gt;0, "NA", ""))))</f>
      </c>
    </row>
    <row r="8">
      <c r="A8" t="str">
        <v>Alumne 7 (6è - Buddy)</v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>
        <f>ROUND(B8*0.10 + C8*0.15 + D8*0.20 + E8*0.15 + F8*0.15 + G8*0.10 + H8*0.15, 2)</f>
      </c>
      <c r="J8">
        <f>IF(I8&gt;=3.5, "AE", IF(I8&gt;=2.8, "AN", IF(I8&gt;=2.0, "AS", IF(I8&gt;0, "NA", ""))))</f>
      </c>
    </row>
    <row r="9">
      <c r="A9" t="str">
        <v>Alumne 8 (5è)</v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>
        <f>ROUND(B9*0.10 + C9*0.15 + D9*0.20 + E9*0.15 + F9*0.15 + G9*0.10 + H9*0.15, 2)</f>
      </c>
      <c r="J9">
        <f>IF(I9&gt;=3.5, "AE", IF(I9&gt;=2.8, "AN", IF(I9&gt;=2.0, "AS", IF(I9&gt;0, "NA", ""))))</f>
      </c>
    </row>
    <row r="10">
      <c r="A10" t="str">
        <v>Alumne 9 (6è)</v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>
        <f>ROUND(B10*0.10 + C10*0.15 + D10*0.20 + E10*0.15 + F10*0.15 + G10*0.10 + H10*0.15, 2)</f>
      </c>
      <c r="J10">
        <f>IF(I10&gt;=3.5, "AE", IF(I10&gt;=2.8, "AN", IF(I10&gt;=2.0, "AS", IF(I10&gt;0, "NA", ""))))</f>
      </c>
    </row>
    <row r="11">
      <c r="A11" t="str">
        <v>Alumne 10 (6è)</v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>
        <f>ROUND(B11*0.10 + C11*0.15 + D11*0.20 + E11*0.15 + F11*0.15 + G11*0.10 + H11*0.15, 2)</f>
      </c>
      <c r="J11">
        <f>IF(I11&gt;=3.5, "AE", IF(I11&gt;=2.8, "AN", IF(I11&gt;=2.0, "AS", IF(I11&gt;0, "NA", ""))))</f>
      </c>
    </row>
    <row r="12">
      <c r="A12" t="str">
        <v>Alumne 11 (5è - Francòfon)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>
        <f>ROUND(B12*0.10 + C12*0.15 + D12*0.20 + E12*0.15 + F12*0.15 + G12*0.10 + H12*0.15, 2)</f>
      </c>
      <c r="J12">
        <f>IF(I12&gt;=3.5, "AE", IF(I12&gt;=2.8, "AN", IF(I12&gt;=2.0, "AS", IF(I12&gt;0, "NA", ""))))</f>
      </c>
    </row>
    <row r="13">
      <c r="A13" t="str">
        <v>Alumne 12 (6è - Buddy)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>
        <f>ROUND(B13*0.10 + C13*0.15 + D13*0.20 + E13*0.15 + F13*0.15 + G13*0.10 + H13*0.15, 2)</f>
      </c>
      <c r="J13">
        <f>IF(I13&gt;=3.5, "AE", IF(I13&gt;=2.8, "AN", IF(I13&gt;=2.0, "AS", IF(I13&gt;0, "NA", ""))))</f>
      </c>
    </row>
    <row r="14">
      <c r="A14" t="str">
        <v>Alumne 13 (5è)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>
        <f>ROUND(B14*0.10 + C14*0.15 + D14*0.20 + E14*0.15 + F14*0.15 + G14*0.10 + H14*0.15, 2)</f>
      </c>
      <c r="J14">
        <f>IF(I14&gt;=3.5, "AE", IF(I14&gt;=2.8, "AN", IF(I14&gt;=2.0, "AS", IF(I14&gt;0, "NA", ""))))</f>
      </c>
    </row>
    <row r="15">
      <c r="A15" t="str">
        <v>Alumne 14 (6è)</v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>
        <f>ROUND(B15*0.10 + C15*0.15 + D15*0.20 + E15*0.15 + F15*0.15 + G15*0.10 + H15*0.15, 2)</f>
      </c>
      <c r="J15">
        <f>IF(I15&gt;=3.5, "AE", IF(I15&gt;=2.8, "AN", IF(I15&gt;=2.0, "AS", IF(I15&gt;0, "NA", ""))))</f>
      </c>
    </row>
    <row r="16">
      <c r="A16" t="str">
        <v>Alumne 15 (5è)</v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>
        <f>ROUND(B16*0.10 + C16*0.15 + D16*0.20 + E16*0.15 + F16*0.15 + G16*0.10 + H16*0.15, 2)</f>
      </c>
      <c r="J16">
        <f>IF(I16&gt;=3.5, "AE", IF(I16&gt;=2.8, "AN", IF(I16&gt;=2.0, "AS", IF(I16&gt;0, "NA", ""))))</f>
      </c>
    </row>
    <row r="17">
      <c r="A17" t="str">
        <v>Alumne 16 (5è)</v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>
        <f>ROUND(B17*0.10 + C17*0.15 + D17*0.20 + E17*0.15 + F17*0.15 + G17*0.10 + H17*0.15, 2)</f>
      </c>
      <c r="J17">
        <f>IF(I17&gt;=3.5, "AE", IF(I17&gt;=2.8, "AN", IF(I17&gt;=2.0, "AS", IF(I17&gt;0, "NA", ""))))</f>
      </c>
    </row>
    <row r="18">
      <c r="A18" t="str">
        <v>Alumne 17 (6è)</v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>
        <f>ROUND(B18*0.10 + C18*0.15 + D18*0.20 + E18*0.15 + F18*0.15 + G18*0.10 + H18*0.15, 2)</f>
      </c>
      <c r="J18">
        <f>IF(I18&gt;=3.5, "AE", IF(I18&gt;=2.8, "AN", IF(I18&gt;=2.0, "AS", IF(I18&gt;0, "NA", ""))))</f>
      </c>
    </row>
    <row r="19">
      <c r="A19" t="str">
        <v>Alumne 18 (5è)</v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>
        <f>ROUND(B19*0.10 + C19*0.15 + D19*0.20 + E19*0.15 + F19*0.15 + G19*0.10 + H19*0.15, 2)</f>
      </c>
      <c r="J19">
        <f>IF(I19&gt;=3.5, "AE", IF(I19&gt;=2.8, "AN", IF(I19&gt;=2.0, "AS", IF(I19&gt;0, "NA", ""))))</f>
      </c>
    </row>
    <row r="20">
      <c r="A20" t="str">
        <v>Alumne 19 (6è)</v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>
        <f>ROUND(B20*0.10 + C20*0.15 + D20*0.20 + E20*0.15 + F20*0.15 + G20*0.10 + H20*0.15, 2)</f>
      </c>
      <c r="J20">
        <f>IF(I20&gt;=3.5, "AE", IF(I20&gt;=2.8, "AN", IF(I20&gt;=2.0, "AS", IF(I20&gt;0, "NA", ""))))</f>
      </c>
    </row>
    <row r="21">
      <c r="A21" t="str">
        <v>Alumne 20 (6è)</v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>
        <f>ROUND(B21*0.10 + C21*0.15 + D21*0.20 + E21*0.15 + F21*0.15 + G21*0.10 + H21*0.15, 2)</f>
      </c>
      <c r="J21">
        <f>IF(I21&gt;=3.5, "AE", IF(I21&gt;=2.8, "AN", IF(I21&gt;=2.0, "AS", IF(I21&gt;0, "NA", ""))))</f>
      </c>
    </row>
    <row r="22">
      <c r="A22" t="str">
        <v>Alumne 21 (5è)</v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>
        <f>ROUND(B22*0.10 + C22*0.15 + D22*0.20 + E22*0.15 + F22*0.15 + G22*0.10 + H22*0.15, 2)</f>
      </c>
      <c r="J22">
        <f>IF(I22&gt;=3.5, "AE", IF(I22&gt;=2.8, "AN", IF(I22&gt;=2.0, "AS", IF(I22&gt;0, "NA", ""))))</f>
      </c>
    </row>
    <row r="23">
      <c r="A23" t="str">
        <v>Alumne 22 (6è)</v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>
        <f>ROUND(B23*0.10 + C23*0.15 + D23*0.20 + E23*0.15 + F23*0.15 + G23*0.10 + H23*0.15, 2)</f>
      </c>
      <c r="J23">
        <f>IF(I23&gt;=3.5, "AE", IF(I23&gt;=2.8, "AN", IF(I23&gt;=2.0, "AS", IF(I23&gt;0, "NA", ""))))</f>
      </c>
    </row>
    <row r="24">
      <c r="A24" t="str">
        <v>Alumne 23 (5è)</v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>
        <f>ROUND(B24*0.10 + C24*0.15 + D24*0.20 + E24*0.15 + F24*0.15 + G24*0.10 + H24*0.15, 2)</f>
      </c>
      <c r="J24">
        <f>IF(I24&gt;=3.5, "AE", IF(I24&gt;=2.8, "AN", IF(I24&gt;=2.0, "AS", IF(I24&gt;0, "NA", ""))))</f>
      </c>
    </row>
    <row r="25">
      <c r="A25" t="str">
        <v>Alumne 24 (6è)</v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>
        <f>ROUND(B25*0.10 + C25*0.15 + D25*0.20 + E25*0.15 + F25*0.15 + G25*0.10 + H25*0.15, 2)</f>
      </c>
      <c r="J25">
        <f>IF(I25&gt;=3.5, "AE", IF(I25&gt;=2.8, "AN", IF(I25&gt;=2.0, "AS", IF(I25&gt;0, "NA", ""))))</f>
      </c>
    </row>
    <row r="26">
      <c r="A26" t="str">
        <v>Alumne 25 (5è)</v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>
        <f>ROUND(B26*0.10 + C26*0.15 + D26*0.20 + E26*0.15 + F26*0.15 + G26*0.10 + H26*0.15, 2)</f>
      </c>
      <c r="J26">
        <f>IF(I26&gt;=3.5, "AE", IF(I26&gt;=2.8, "AN", IF(I26&gt;=2.0, "AS", IF(I26&gt;0, "NA", ""))))</f>
      </c>
    </row>
  </sheetData>
  <ignoredErrors>
    <ignoredError numberStoredAsText="1" sqref="A1:J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cols>
    <col min="1" max="1" width="30.83203125" customWidth="1"/>
    <col min="2" max="2" width="45.83203125" customWidth="1"/>
    <col min="3" max="3" width="8.83203125" customWidth="1"/>
    <col min="4" max="4" width="40.83203125" customWidth="1"/>
    <col min="5" max="5" width="40.83203125" customWidth="1"/>
    <col min="6" max="6" width="40.83203125" customWidth="1"/>
    <col min="7" max="7" width="40.83203125" customWidth="1"/>
  </cols>
  <sheetData>
    <row r="1">
      <c r="A1" t="str">
        <v>Criteri</v>
      </c>
      <c r="B1" t="str">
        <v>Descripció Curricular</v>
      </c>
      <c r="C1" t="str">
        <v>Pes</v>
      </c>
      <c r="D1" t="str">
        <v>Nivell 1 (Inicial: 1-4)</v>
      </c>
      <c r="E1" t="str">
        <v>Nivell 2 (Mitjà: 5-6)</v>
      </c>
      <c r="F1" t="str">
        <v>Nivell 3 (Avançat: 7-8)</v>
      </c>
      <c r="G1" t="str">
        <v>Nivell 4 (Excel·lent: 9-10)</v>
      </c>
    </row>
    <row r="2">
      <c r="A2" t="str">
        <v>1.1 Hàbits i Escalfament</v>
      </c>
      <c r="B2" t="str">
        <v>Conèixer i aplicar amb autonomia rutines d'escalfament dinàmic, hàbits d'higiene postural i corporal, i hidratació adequada.</v>
      </c>
      <c r="C2" t="str">
        <v>10%</v>
      </c>
      <c r="D2" t="str">
        <v>No realitza l'escalfament o es distreu contínuament; descuida els hàbits bàsics d'higiene i hidratació.</v>
      </c>
      <c r="E2" t="str">
        <v>Participa en l'escalfament imitant els companys, però sense iniciativa pròpia ni cura postural; requereix recordatoris.</v>
      </c>
      <c r="F2" t="str">
        <v>Executa l'escalfament dinàmic de manera autònoma i responsable; compleix els hàbits d'higiene i hidratació sistemàticament.</v>
      </c>
      <c r="G2" t="str">
        <v>Proposa i dirigeix exercicis d'escalfament específics a l'equip mixt, explicant la importància de prevenir lesions.</v>
      </c>
    </row>
    <row r="3">
      <c r="A3" t="str">
        <v>1.2 Autoregulació del Ritme i Borg</v>
      </c>
      <c r="B3" t="str">
        <v>Reconèixer i autoregular la intensitat de l'esforç mitjançant la freqüència cardíaca i l'Escala de Borg en activitats aeròbiques.</v>
      </c>
      <c r="C3" t="str">
        <v>15%</v>
      </c>
      <c r="D3" t="str">
        <v>Surt a màxima velocitat i s'atura de cop per esgotament; no identifica el seu nivell a l'Escala de Borg ni sap prendre's el pols.</v>
      </c>
      <c r="E3" t="str">
        <v>Reconeix el cansament extrem, però li costa mantenir un ritme constant; necessita ajuda per identificar la freqüència cardíaca o la zona Borg 5-6.</v>
      </c>
      <c r="F3" t="str">
        <v>Regula el ritme de cursa aeròbica de forma sostinguda (zona Borg 5-6), dialogant amb la parella de cursa i controlant la respiració.</v>
      </c>
      <c r="G3" t="str">
        <v>Domina la dosificació del ritme en qualsevol distància; calcula i interpreta el pols abans/després de l'esforç, i assessora els companys.</v>
      </c>
    </row>
    <row r="4">
      <c r="A4" t="str">
        <v>2.1 Cursa, Relleus i Salts</v>
      </c>
      <c r="B4" t="str">
        <v>Executar habilitats motrius d'atletisme (acceleració, cursa rítmica, franqueig, batuda i recepció en salts) amb coordinació i equilibri.</v>
      </c>
      <c r="C4" t="str">
        <v>20%</v>
      </c>
      <c r="D4" t="str">
        <v>S'atura totalment en rebre el testimoni; fa salts verticals o caigudes desequilibrades i rígides amb risc lesiu.</v>
      </c>
      <c r="E4" t="str">
        <v>Fa el traspàs del testimoni amb vacil·lacions o esperant aturat; franqueja obstacles tocant sovint la goma; aterra en salt amb coordinació irregular.</v>
      </c>
      <c r="F4" t="str">
        <v>Sincronitza la cursa per rebre el testimoni en moviment; supera obstacles amb ritme de 3 passes; executa la tisora amb batuda a 1 peu i recepció flexionada.</v>
      </c>
      <c r="G4" t="str">
        <v>Mecànica de cursa impecable; lliura el testimoni a alta velocitat amb avís «HOP!» sonor precís i domina la tisora i salt de llargada.</v>
      </c>
    </row>
    <row r="5">
      <c r="A5" t="str">
        <v>2.2 Llançaments i Paràbola</v>
      </c>
      <c r="B5" t="str">
        <v>Aplicar tècniques de llançament amb diferents mòbils (vòrtex, pilota medicinal), aprofitant la palanca de tronc i cames de forma segura.</v>
      </c>
      <c r="C5" t="str">
        <v>15%</v>
      </c>
      <c r="D5" t="str">
        <v>Llança només fent força descontrolada de braç sense posició de perfil, o incompleix el protocol de seguretat de llançament.</v>
      </c>
      <c r="E5" t="str">
        <v>Adopta la posició de perfil però llança amb trajectòria massa plana o caiguda; respecta el protocol de seguretat amb supervisió docent.</v>
      </c>
      <c r="F5" t="str">
        <v>Aplica la cadena cinètica coordinant impuls de cames, torsió de tronc i fuetada de braç per sobre de l'espatlla (paràbola a ~45° amb vòrtex i pes).</v>
      </c>
      <c r="G5" t="str">
        <v>Coordina perfectament l'impuls de cames, torsió de tronc i fuetada de braç; transfereix amb destresa la tècnica al llançament adaptat en cadira.</v>
      </c>
    </row>
    <row r="6">
      <c r="A6" t="str">
        <v>3.1 Cooperació i Joc Net</v>
      </c>
      <c r="B6" t="str">
        <v>Col·laborar activament en equips mixtos (5è-6è), respectant les normes, acceptant la diversitat de capacitats i donant suport mutu.</v>
      </c>
      <c r="C6" t="str">
        <v>15%</v>
      </c>
      <c r="D6" t="str">
        <v>Mostra conductes individualistes o competitives excloents; rebutja companys de l'altre curs (5è/6è) o no respecta els torns.</v>
      </c>
      <c r="E6" t="str">
        <v>Col·labora en l'equip només amb el seu subgrup d'afinitat; participa en la coavaluació de forma superficial o mecànica.</v>
      </c>
      <c r="F6" t="str">
        <v>Participa activament i solidària a l'equip mixt 5è-6è, animant tothom, respectant els diferents ritmes i utilitzant el full de coavaluació.</v>
      </c>
      <c r="G6" t="str">
        <v>Exerceix un lideratge positiu, empàtic i inclusiu; facilita la integració de l'alumnat NESE i nouvingut; promou el joc net i resol desacords.</v>
      </c>
    </row>
    <row r="7">
      <c r="A7" t="str">
        <v>3.2 Gestió de la Por i Emocions</v>
      </c>
      <c r="B7" t="str">
        <v>Gestionar les emocions pròpies (por davant del salt d'alçada, frustració davant l'error) i practicar la coavaluació constructiva.</v>
      </c>
      <c r="C7" t="str">
        <v>10%</v>
      </c>
      <c r="D7" t="str">
        <v>Es bloqueja davant d'obstacles o alçades sense intentar-ho; reacciona amb frustració o abandó davant de l'error o el cansament.</v>
      </c>
      <c r="E7" t="str">
        <v>Mostra dubtes i inseguretat davant del matalàs llevapors o el repte; necessita acompanyament constant del docent per provar-ho.</v>
      </c>
      <c r="F7" t="str">
        <v>Reconeix les seves emocions i pors davant del repte motriu (salt, obstacles); les supera amb determinació i accepta l'error com a part del procés.</v>
      </c>
      <c r="G7" t="str">
        <v>Mostra gran maduresa i resiliència; transforma la por en motivació de superació personal i ajuda els companys amb bloquejos emocionals.</v>
      </c>
    </row>
    <row r="8">
      <c r="A8" t="str">
        <v>4.1 Para-Atletisme i Inclusió</v>
      </c>
      <c r="B8" t="str">
        <v>Experimentar modalitats de para-atletisme (llançament en cadira de rodes) i valorar la pràctica de l'esport adaptat com un dret i riquesa.</v>
      </c>
      <c r="C8" t="str">
        <v>15%</v>
      </c>
      <c r="D8" t="str">
        <v>Mostra desinterès o comentaris poc reflexius davant les adaptacions d'esport adaptat; no percep el valor de la inclusió.</v>
      </c>
      <c r="E8" t="str">
        <v>Participa en les activitats de llançament adaptat en cadira com un joc més, sense reflexionar sobre les dificultats reals de mobilitat reduïda.</v>
      </c>
      <c r="F8" t="str">
        <v>Experimenta el para-atletisme amb serietat i respecte, reconeixent l'esforç muscular de tronc/braços i valorant l'esport adaptat.</v>
      </c>
      <c r="G8" t="str">
        <v>Reflexiona profundament sobre l'accessibilitat esportiva, proposa adaptacions multinivell i mostra una sensibilitat exemplar vers la diversitat.</v>
      </c>
    </row>
  </sheetData>
  <ignoredErrors>
    <ignoredError numberStoredAsText="1" sqref="A1:G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2.83203125" customWidth="1"/>
    <col min="2" max="2" width="32.83203125" customWidth="1"/>
    <col min="3" max="3" width="75.83203125" customWidth="1"/>
    <col min="4" max="4" width="40.83203125" customWidth="1"/>
    <col min="5" max="5" width="10.83203125" customWidth="1"/>
    <col min="6" max="6" width="12.83203125" customWidth="1"/>
  </cols>
  <sheetData>
    <row r="1">
      <c r="A1" t="str">
        <v>Codi</v>
      </c>
      <c r="B1" t="str">
        <v>Criteri d'Avaluació</v>
      </c>
      <c r="C1" t="str">
        <v>Descripció Curricular</v>
      </c>
      <c r="D1" t="str">
        <v>Competència Específica</v>
      </c>
      <c r="E1" t="str">
        <v>Pes (%)</v>
      </c>
      <c r="F1" t="str">
        <v>Ponderació</v>
      </c>
    </row>
    <row r="2">
      <c r="A2" t="str">
        <v>EF.CS.1.1</v>
      </c>
      <c r="B2" t="str">
        <v>1.1 Hàbits i Escalfament</v>
      </c>
      <c r="C2" t="str">
        <v>Conèixer i aplicar amb autonomia rutines d'escalfament dinàmic, hàbits d'higiene postural i corporal, i hidratació adequada.</v>
      </c>
      <c r="D2" t="str">
        <v>CE1. Estil de vida actiu i saludable</v>
      </c>
      <c r="E2" t="str">
        <v>10%</v>
      </c>
      <c r="F2">
        <v>0.1</v>
      </c>
    </row>
    <row r="3">
      <c r="A3" t="str">
        <v>EF.CS.1.2</v>
      </c>
      <c r="B3" t="str">
        <v>1.2 Autoregulació del Ritme i Borg</v>
      </c>
      <c r="C3" t="str">
        <v>Reconèixer i autoregular la intensitat de l'esforç mitjançant la freqüència cardíaca i l'Escala de Borg en activitats aeròbiques.</v>
      </c>
      <c r="D3" t="str">
        <v>CE1. Estil de vida actiu i saludable</v>
      </c>
      <c r="E3" t="str">
        <v>15%</v>
      </c>
      <c r="F3">
        <v>0.15</v>
      </c>
    </row>
    <row r="4">
      <c r="A4" t="str">
        <v>EF.CS.2.1</v>
      </c>
      <c r="B4" t="str">
        <v>2.1 Cursa, Relleus i Salts</v>
      </c>
      <c r="C4" t="str">
        <v>Executar habilitats motrius d'atletisme (acceleració, cursa rítmica, franqueig, batuda i recepció en salts) amb coordinació i equilibri.</v>
      </c>
      <c r="D4" t="str">
        <v>CE2. Resolució de situacions motrius</v>
      </c>
      <c r="E4" t="str">
        <v>20%</v>
      </c>
      <c r="F4">
        <v>0.2</v>
      </c>
    </row>
    <row r="5">
      <c r="A5" t="str">
        <v>EF.CS.2.2</v>
      </c>
      <c r="B5" t="str">
        <v>2.2 Llançaments i Paràbola</v>
      </c>
      <c r="C5" t="str">
        <v>Aplicar tècniques de llançament amb diferents mòbils (vòrtex, pilota medicinal), aprofitant la palanca de tronc i cames de forma segura.</v>
      </c>
      <c r="D5" t="str">
        <v>CE2. Resolució de situacions motrius</v>
      </c>
      <c r="E5" t="str">
        <v>15%</v>
      </c>
      <c r="F5">
        <v>0.15</v>
      </c>
    </row>
    <row r="6">
      <c r="A6" t="str">
        <v>EF.CS.3.1</v>
      </c>
      <c r="B6" t="str">
        <v>3.1 Cooperació i Joc Net</v>
      </c>
      <c r="C6" t="str">
        <v>Col·laborar activament en equips mixtos (5è-6è), respectant les normes, acceptant la diversitat de capacitats i donant suport mutu.</v>
      </c>
      <c r="D6" t="str">
        <v>CE3. Autoregulació emocional i cooperació</v>
      </c>
      <c r="E6" t="str">
        <v>15%</v>
      </c>
      <c r="F6">
        <v>0.15</v>
      </c>
    </row>
    <row r="7">
      <c r="A7" t="str">
        <v>EF.CS.3.2</v>
      </c>
      <c r="B7" t="str">
        <v>3.2 Gestió de la Por i Emocions</v>
      </c>
      <c r="C7" t="str">
        <v>Gestionar les emocions pròpies (por davant del salt d'alçada, frustració davant l'error) i practicar la coavaluació constructiva.</v>
      </c>
      <c r="D7" t="str">
        <v>CE3. Autoregulació emocional i cooperació</v>
      </c>
      <c r="E7" t="str">
        <v>10%</v>
      </c>
      <c r="F7">
        <v>0.1</v>
      </c>
    </row>
    <row r="8">
      <c r="A8" t="str">
        <v>EF.CS.4.1</v>
      </c>
      <c r="B8" t="str">
        <v>4.1 Para-Atletisme i Inclusió</v>
      </c>
      <c r="C8" t="str">
        <v>Experimentar modalitats de para-atletisme (llançament en cadira de rodes) i valorar la pràctica de l'esport adaptat com un dret i riquesa.</v>
      </c>
      <c r="D8" t="str">
        <v>CE4. Manifestacions de la cultura motriu</v>
      </c>
      <c r="E8" t="str">
        <v>15%</v>
      </c>
      <c r="F8">
        <v>0.15</v>
      </c>
    </row>
  </sheetData>
  <ignoredErrors>
    <ignoredError numberStoredAsText="1" sqref="A1:F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cols>
    <col min="1" max="1" width="28.83203125" customWidth="1"/>
    <col min="2" max="2" width="30.83203125" customWidth="1"/>
    <col min="3" max="3" width="32.83203125" customWidth="1"/>
    <col min="4" max="4" width="30.83203125" customWidth="1"/>
    <col min="5" max="5" width="30.83203125" customWidth="1"/>
    <col min="6" max="6" width="28.83203125" customWidth="1"/>
    <col min="7" max="7" width="26.83203125" customWidth="1"/>
    <col min="8" max="8" width="32.83203125" customWidth="1"/>
    <col min="9" max="9" width="24.83203125" customWidth="1"/>
    <col min="10" max="10" width="20.83203125" customWidth="1"/>
  </cols>
  <sheetData>
    <row r="1">
      <c r="A1" t="str">
        <v>Alumne/a</v>
      </c>
      <c r="B1" t="str">
        <v>1.1 Hàbits i Escalfament (10%)</v>
      </c>
      <c r="C1" t="str">
        <v>1.2 Autoregulació Ritme Borg (15%)</v>
      </c>
      <c r="D1" t="str">
        <v>2.1 Cursa, Relleus i Salts (20%)</v>
      </c>
      <c r="E1" t="str">
        <v>2.2 Llançaments i Paràbola (15%)</v>
      </c>
      <c r="F1" t="str">
        <v>3.1 Cooperació i Joc Net (15%)</v>
      </c>
      <c r="G1" t="str">
        <v>3.2 Gestió de la Por (10%)</v>
      </c>
      <c r="H1" t="str">
        <v>4.1 Para-Atletisme i Inclusió (15%)</v>
      </c>
      <c r="I1" t="str">
        <v>Mitjana Ponderada (1 a 4)</v>
      </c>
      <c r="J1" t="str">
        <v>Qualificació Oficial</v>
      </c>
    </row>
  </sheetData>
  <ignoredErrors>
    <ignoredError numberStoredAsText="1" sqref="A1:J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Columnes_Criteris_Quadern</vt:lpstr>
      <vt:lpstr>Rubrica_Completa</vt:lpstr>
      <vt:lpstr>Cataleg_Criteris</vt:lpstr>
      <vt:lpstr>Plantilla_Buida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