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cacions_Alumnat" sheetId="1" r:id="rId1"/>
    <sheet name="Matriu_Rubrica_Oficial" sheetId="2" r:id="rId2"/>
    <sheet name="Cataleg_Criteris_Decret175" sheetId="3" r:id="rId3"/>
    <sheet name="Instruccions_iDoce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Alumne/a</v>
      </c>
      <c r="B1" t="str">
        <v>Curs</v>
      </c>
      <c r="C1" t="str">
        <v>Grup Cooperatiu</v>
      </c>
      <c r="D1" t="str">
        <v>1.1 Hàbits i Escalfament (10%)</v>
      </c>
      <c r="E1" t="str">
        <v>1.2 Autoregulació Borg (15%)</v>
      </c>
      <c r="F1" t="str">
        <v>2.1 Desmarcatge i Passada (20%)</v>
      </c>
      <c r="G1" t="str">
        <v>2.2 Tir 360° i Defensat (15%)</v>
      </c>
      <c r="H1" t="str">
        <v>3.1 Coeducació i Equip Mixt (15%)</v>
      </c>
      <c r="I1" t="str">
        <v>3.2 Joc Net i Arbitratge (10%)</v>
      </c>
      <c r="J1" t="str">
        <v>4.1 Cultura Korfbal i Catalunya (15%)</v>
      </c>
      <c r="K1" t="str">
        <v>Mitjana Ponderada (1 a 4)</v>
      </c>
      <c r="L1" t="str">
        <v>Qualificació Oficial</v>
      </c>
    </row>
    <row r="2">
      <c r="A2" t="str">
        <v>Alumne 1 (5è - TEA)</v>
      </c>
      <c r="B2" t="str">
        <v>5è</v>
      </c>
      <c r="C2" t="str">
        <v>Equip 1</v>
      </c>
      <c r="D2">
        <v>3</v>
      </c>
      <c r="E2">
        <v>3</v>
      </c>
      <c r="F2">
        <v>3</v>
      </c>
      <c r="G2">
        <v>3</v>
      </c>
      <c r="H2">
        <v>3</v>
      </c>
      <c r="I2">
        <v>4</v>
      </c>
      <c r="J2">
        <v>3</v>
      </c>
      <c r="K2">
        <f>D2*0.1 + E2*0.15 + F2*0.2 + G2*0.15 + H2*0.15 + I2*0.1 + J2*0.15</f>
      </c>
      <c r="L2">
        <f>IF(K2&gt;=3.5,"AE",IF(K2&gt;=2.8,"AN",IF(K2&gt;=2,"AS","NA")))</f>
      </c>
    </row>
    <row r="3">
      <c r="A3" t="str">
        <v>Alumne 2 (6è - TDAH)</v>
      </c>
      <c r="B3" t="str">
        <v>6è</v>
      </c>
      <c r="C3" t="str">
        <v>Equip 1</v>
      </c>
      <c r="D3">
        <v>3</v>
      </c>
      <c r="E3">
        <v>3</v>
      </c>
      <c r="F3">
        <v>4</v>
      </c>
      <c r="G3">
        <v>3</v>
      </c>
      <c r="H3">
        <v>3</v>
      </c>
      <c r="I3">
        <v>3</v>
      </c>
      <c r="J3">
        <v>3</v>
      </c>
      <c r="K3">
        <f>D3*0.1 + E3*0.15 + F3*0.2 + G3*0.15 + H3*0.15 + I3*0.1 + J3*0.15</f>
      </c>
      <c r="L3">
        <f>IF(K3&gt;=3.5,"AE",IF(K3&gt;=2.8,"AN",IF(K3&gt;=2,"AS","NA")))</f>
      </c>
    </row>
    <row r="4">
      <c r="A4" t="str">
        <v>Alumne 3 (5è - Noia)</v>
      </c>
      <c r="B4" t="str">
        <v>5è</v>
      </c>
      <c r="C4" t="str">
        <v>Equip 1</v>
      </c>
      <c r="D4">
        <v>4</v>
      </c>
      <c r="E4">
        <v>3</v>
      </c>
      <c r="F4">
        <v>3</v>
      </c>
      <c r="G4">
        <v>4</v>
      </c>
      <c r="H4">
        <v>4</v>
      </c>
      <c r="I4">
        <v>4</v>
      </c>
      <c r="J4">
        <v>4</v>
      </c>
      <c r="K4">
        <f>D4*0.1 + E4*0.15 + F4*0.2 + G4*0.15 + H4*0.15 + I4*0.1 + J4*0.15</f>
      </c>
      <c r="L4">
        <f>IF(K4&gt;=3.5,"AE",IF(K4&gt;=2.8,"AN",IF(K4&gt;=2,"AS","NA")))</f>
      </c>
    </row>
    <row r="5">
      <c r="A5" t="str">
        <v>Alumne 4 (6è - Noi)</v>
      </c>
      <c r="B5" t="str">
        <v>6è</v>
      </c>
      <c r="C5" t="str">
        <v>Equip 1</v>
      </c>
      <c r="D5">
        <v>3</v>
      </c>
      <c r="E5">
        <v>4</v>
      </c>
      <c r="F5">
        <v>4</v>
      </c>
      <c r="G5">
        <v>3</v>
      </c>
      <c r="H5">
        <v>4</v>
      </c>
      <c r="I5">
        <v>3</v>
      </c>
      <c r="J5">
        <v>3</v>
      </c>
      <c r="K5">
        <f>D5*0.1 + E5*0.15 + F5*0.2 + G5*0.15 + H5*0.15 + I5*0.1 + J5*0.15</f>
      </c>
      <c r="L5">
        <f>IF(K5&gt;=3.5,"AE",IF(K5&gt;=2.8,"AN",IF(K5&gt;=2,"AS","NA")))</f>
      </c>
    </row>
    <row r="6">
      <c r="A6" t="str">
        <v>Alumne 5 (5è - Noi)</v>
      </c>
      <c r="B6" t="str">
        <v>5è</v>
      </c>
      <c r="C6" t="str">
        <v>Equip 1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f>D6*0.1 + E6*0.15 + F6*0.2 + G6*0.15 + H6*0.15 + I6*0.1 + J6*0.15</f>
      </c>
      <c r="L6">
        <f>IF(K6&gt;=3.5,"AE",IF(K6&gt;=2.8,"AN",IF(K6&gt;=2,"AS","NA")))</f>
      </c>
    </row>
    <row r="7">
      <c r="A7" t="str">
        <v>Alumne 6 (5è - Noia)</v>
      </c>
      <c r="B7" t="str">
        <v>5è</v>
      </c>
      <c r="C7" t="str">
        <v>Equip 2</v>
      </c>
      <c r="D7">
        <v>3</v>
      </c>
      <c r="E7">
        <v>3</v>
      </c>
      <c r="F7">
        <v>3</v>
      </c>
      <c r="G7">
        <v>3</v>
      </c>
      <c r="H7">
        <v>4</v>
      </c>
      <c r="I7">
        <v>4</v>
      </c>
      <c r="J7">
        <v>3</v>
      </c>
      <c r="K7">
        <f>D7*0.1 + E7*0.15 + F7*0.2 + G7*0.15 + H7*0.15 + I7*0.1 + J7*0.15</f>
      </c>
      <c r="L7">
        <f>IF(K7&gt;=3.5,"AE",IF(K7&gt;=2.8,"AN",IF(K7&gt;=2,"AS","NA")))</f>
      </c>
    </row>
    <row r="8">
      <c r="A8" t="str">
        <v>Alumne 7 (6è - Noia)</v>
      </c>
      <c r="B8" t="str">
        <v>6è</v>
      </c>
      <c r="C8" t="str">
        <v>Equip 2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f>D8*0.1 + E8*0.15 + F8*0.2 + G8*0.15 + H8*0.15 + I8*0.1 + J8*0.15</f>
      </c>
      <c r="L8">
        <f>IF(K8&gt;=3.5,"AE",IF(K8&gt;=2.8,"AN",IF(K8&gt;=2,"AS","NA")))</f>
      </c>
    </row>
    <row r="9">
      <c r="A9" t="str">
        <v>Alumne 8 (5è - Noi)</v>
      </c>
      <c r="B9" t="str">
        <v>5è</v>
      </c>
      <c r="C9" t="str">
        <v>Equip 2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f>D9*0.1 + E9*0.15 + F9*0.2 + G9*0.15 + H9*0.15 + I9*0.1 + J9*0.15</f>
      </c>
      <c r="L9">
        <f>IF(K9&gt;=3.5,"AE",IF(K9&gt;=2.8,"AN",IF(K9&gt;=2,"AS","NA")))</f>
      </c>
    </row>
    <row r="10">
      <c r="A10" t="str">
        <v>Alumne 9 (6è - Noia)</v>
      </c>
      <c r="B10" t="str">
        <v>6è</v>
      </c>
      <c r="C10" t="str">
        <v>Equip 2</v>
      </c>
      <c r="D10">
        <v>4</v>
      </c>
      <c r="E10">
        <v>3</v>
      </c>
      <c r="F10">
        <v>4</v>
      </c>
      <c r="G10">
        <v>3</v>
      </c>
      <c r="H10">
        <v>4</v>
      </c>
      <c r="I10">
        <v>4</v>
      </c>
      <c r="J10">
        <v>3</v>
      </c>
      <c r="K10">
        <f>D10*0.1 + E10*0.15 + F10*0.2 + G10*0.15 + H10*0.15 + I10*0.1 + J10*0.15</f>
      </c>
      <c r="L10">
        <f>IF(K10&gt;=3.5,"AE",IF(K10&gt;=2.8,"AN",IF(K10&gt;=2,"AS","NA")))</f>
      </c>
    </row>
    <row r="11">
      <c r="A11" t="str">
        <v>Alumne 10 (6è - Noi)</v>
      </c>
      <c r="B11" t="str">
        <v>6è</v>
      </c>
      <c r="C11" t="str">
        <v>Equip 2</v>
      </c>
      <c r="D11">
        <v>3</v>
      </c>
      <c r="E11">
        <v>4</v>
      </c>
      <c r="F11">
        <v>3</v>
      </c>
      <c r="G11">
        <v>4</v>
      </c>
      <c r="H11">
        <v>3</v>
      </c>
      <c r="I11">
        <v>3</v>
      </c>
      <c r="J11">
        <v>4</v>
      </c>
      <c r="K11">
        <f>D11*0.1 + E11*0.15 + F11*0.2 + G11*0.15 + H11*0.15 + I11*0.1 + J11*0.15</f>
      </c>
      <c r="L11">
        <f>IF(K11&gt;=3.5,"AE",IF(K11&gt;=2.8,"AN",IF(K11&gt;=2,"AS","NA")))</f>
      </c>
    </row>
    <row r="12">
      <c r="A12" t="str">
        <v>Alumne 11 (5è - Noi)</v>
      </c>
      <c r="B12" t="str">
        <v>5è</v>
      </c>
      <c r="C12" t="str">
        <v>Equip 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f>D12*0.1 + E12*0.15 + F12*0.2 + G12*0.15 + H12*0.15 + I12*0.1 + J12*0.15</f>
      </c>
      <c r="L12">
        <f>IF(K12&gt;=3.5,"AE",IF(K12&gt;=2.8,"AN",IF(K12&gt;=2,"AS","NA")))</f>
      </c>
    </row>
    <row r="13">
      <c r="A13" t="str">
        <v>Alumne 12 (6è - Noi)</v>
      </c>
      <c r="B13" t="str">
        <v>6è</v>
      </c>
      <c r="C13" t="str">
        <v>Equip 3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f>D13*0.1 + E13*0.15 + F13*0.2 + G13*0.15 + H13*0.15 + I13*0.1 + J13*0.15</f>
      </c>
      <c r="L13">
        <f>IF(K13&gt;=3.5,"AE",IF(K13&gt;=2.8,"AN",IF(K13&gt;=2,"AS","NA")))</f>
      </c>
    </row>
    <row r="14">
      <c r="A14" t="str">
        <v>Alumne 13 (5è - Noia)</v>
      </c>
      <c r="B14" t="str">
        <v>5è</v>
      </c>
      <c r="C14" t="str">
        <v>Equip 3</v>
      </c>
      <c r="D14">
        <v>3</v>
      </c>
      <c r="E14">
        <v>3</v>
      </c>
      <c r="F14">
        <v>4</v>
      </c>
      <c r="G14">
        <v>3</v>
      </c>
      <c r="H14">
        <v>4</v>
      </c>
      <c r="I14">
        <v>4</v>
      </c>
      <c r="J14">
        <v>3</v>
      </c>
      <c r="K14">
        <f>D14*0.1 + E14*0.15 + F14*0.2 + G14*0.15 + H14*0.15 + I14*0.1 + J14*0.15</f>
      </c>
      <c r="L14">
        <f>IF(K14&gt;=3.5,"AE",IF(K14&gt;=2.8,"AN",IF(K14&gt;=2,"AS","NA")))</f>
      </c>
    </row>
    <row r="15">
      <c r="A15" t="str">
        <v>Alumne 14 (6è - Noia)</v>
      </c>
      <c r="B15" t="str">
        <v>6è</v>
      </c>
      <c r="C15" t="str">
        <v>Equip 3</v>
      </c>
      <c r="D15">
        <v>4</v>
      </c>
      <c r="E15">
        <v>3</v>
      </c>
      <c r="F15">
        <v>4</v>
      </c>
      <c r="G15">
        <v>4</v>
      </c>
      <c r="H15">
        <v>4</v>
      </c>
      <c r="I15">
        <v>4</v>
      </c>
      <c r="J15">
        <v>4</v>
      </c>
      <c r="K15">
        <f>D15*0.1 + E15*0.15 + F15*0.2 + G15*0.15 + H15*0.15 + I15*0.1 + J15*0.15</f>
      </c>
      <c r="L15">
        <f>IF(K15&gt;=3.5,"AE",IF(K15&gt;=2.8,"AN",IF(K15&gt;=2,"AS","NA")))</f>
      </c>
    </row>
    <row r="16">
      <c r="A16" t="str">
        <v>Alumne 15 (5è - Noi)</v>
      </c>
      <c r="B16" t="str">
        <v>5è</v>
      </c>
      <c r="C16" t="str">
        <v>Equip 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f>D16*0.1 + E16*0.15 + F16*0.2 + G16*0.15 + H16*0.15 + I16*0.1 + J16*0.15</f>
      </c>
      <c r="L16">
        <f>IF(K16&gt;=3.5,"AE",IF(K16&gt;=2.8,"AN",IF(K16&gt;=2,"AS","NA")))</f>
      </c>
    </row>
    <row r="17">
      <c r="A17" t="str">
        <v>Alumne 16 (5è - Noia)</v>
      </c>
      <c r="B17" t="str">
        <v>5è</v>
      </c>
      <c r="C17" t="str">
        <v>Equip 4</v>
      </c>
      <c r="D17">
        <v>3</v>
      </c>
      <c r="E17">
        <v>4</v>
      </c>
      <c r="F17">
        <v>3</v>
      </c>
      <c r="G17">
        <v>3</v>
      </c>
      <c r="H17">
        <v>4</v>
      </c>
      <c r="I17">
        <v>3</v>
      </c>
      <c r="J17">
        <v>3</v>
      </c>
      <c r="K17">
        <f>D17*0.1 + E17*0.15 + F17*0.2 + G17*0.15 + H17*0.15 + I17*0.1 + J17*0.15</f>
      </c>
      <c r="L17">
        <f>IF(K17&gt;=3.5,"AE",IF(K17&gt;=2.8,"AN",IF(K17&gt;=2,"AS","NA")))</f>
      </c>
    </row>
    <row r="18">
      <c r="A18" t="str">
        <v>Alumne 17 (6è - Noi)</v>
      </c>
      <c r="B18" t="str">
        <v>6è</v>
      </c>
      <c r="C18" t="str">
        <v>Equip 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f>D18*0.1 + E18*0.15 + F18*0.2 + G18*0.15 + H18*0.15 + I18*0.1 + J18*0.15</f>
      </c>
      <c r="L18">
        <f>IF(K18&gt;=3.5,"AE",IF(K18&gt;=2.8,"AN",IF(K18&gt;=2,"AS","NA")))</f>
      </c>
    </row>
    <row r="19">
      <c r="A19" t="str">
        <v>Alumne 18 (5è - Noia)</v>
      </c>
      <c r="B19" t="str">
        <v>5è</v>
      </c>
      <c r="C19" t="str">
        <v>Equip 4</v>
      </c>
      <c r="D19">
        <v>3</v>
      </c>
      <c r="E19">
        <v>3</v>
      </c>
      <c r="F19">
        <v>3</v>
      </c>
      <c r="G19">
        <v>3</v>
      </c>
      <c r="H19">
        <v>4</v>
      </c>
      <c r="I19">
        <v>4</v>
      </c>
      <c r="J19">
        <v>3</v>
      </c>
      <c r="K19">
        <f>D19*0.1 + E19*0.15 + F19*0.2 + G19*0.15 + H19*0.15 + I19*0.1 + J19*0.15</f>
      </c>
      <c r="L19">
        <f>IF(K19&gt;=3.5,"AE",IF(K19&gt;=2.8,"AN",IF(K19&gt;=2,"AS","NA")))</f>
      </c>
    </row>
    <row r="20">
      <c r="A20" t="str">
        <v>Alumne 19 (6è - Noia)</v>
      </c>
      <c r="B20" t="str">
        <v>6è</v>
      </c>
      <c r="C20" t="str">
        <v>Equip 4</v>
      </c>
      <c r="D20">
        <v>4</v>
      </c>
      <c r="E20">
        <v>4</v>
      </c>
      <c r="F20">
        <v>4</v>
      </c>
      <c r="G20">
        <v>3</v>
      </c>
      <c r="H20">
        <v>4</v>
      </c>
      <c r="I20">
        <v>4</v>
      </c>
      <c r="J20">
        <v>4</v>
      </c>
      <c r="K20">
        <f>D20*0.1 + E20*0.15 + F20*0.2 + G20*0.15 + H20*0.15 + I20*0.1 + J20*0.15</f>
      </c>
      <c r="L20">
        <f>IF(K20&gt;=3.5,"AE",IF(K20&gt;=2.8,"AN",IF(K20&gt;=2,"AS","NA")))</f>
      </c>
    </row>
    <row r="21">
      <c r="A21" t="str">
        <v>Alumne 20 (6è - Noi)</v>
      </c>
      <c r="B21" t="str">
        <v>6è</v>
      </c>
      <c r="C21" t="str">
        <v>Equip 4</v>
      </c>
      <c r="D21">
        <v>3</v>
      </c>
      <c r="E21">
        <v>3</v>
      </c>
      <c r="F21">
        <v>4</v>
      </c>
      <c r="G21">
        <v>3</v>
      </c>
      <c r="H21">
        <v>3</v>
      </c>
      <c r="I21">
        <v>3</v>
      </c>
      <c r="J21">
        <v>3</v>
      </c>
      <c r="K21">
        <f>D21*0.1 + E21*0.15 + F21*0.2 + G21*0.15 + H21*0.15 + I21*0.1 + J21*0.15</f>
      </c>
      <c r="L21">
        <f>IF(K21&gt;=3.5,"AE",IF(K21&gt;=2.8,"AN",IF(K21&gt;=2,"AS","NA")))</f>
      </c>
    </row>
    <row r="22">
      <c r="A22" t="str">
        <v>Alumne 21 (5è - Noi)</v>
      </c>
      <c r="B22" t="str">
        <v>5è</v>
      </c>
      <c r="C22" t="str">
        <v>Equip 5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f>D22*0.1 + E22*0.15 + F22*0.2 + G22*0.15 + H22*0.15 + I22*0.1 + J22*0.15</f>
      </c>
      <c r="L22">
        <f>IF(K22&gt;=3.5,"AE",IF(K22&gt;=2.8,"AN",IF(K22&gt;=2,"AS","NA")))</f>
      </c>
    </row>
    <row r="23">
      <c r="A23" t="str">
        <v>Alumne 22 (6è - Noia)</v>
      </c>
      <c r="B23" t="str">
        <v>6è</v>
      </c>
      <c r="C23" t="str">
        <v>Equip 5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f>D23*0.1 + E23*0.15 + F23*0.2 + G23*0.15 + H23*0.15 + I23*0.1 + J23*0.15</f>
      </c>
      <c r="L23">
        <f>IF(K23&gt;=3.5,"AE",IF(K23&gt;=2.8,"AN",IF(K23&gt;=2,"AS","NA")))</f>
      </c>
    </row>
    <row r="24">
      <c r="A24" t="str">
        <v>Alumne 23 (5è - Noia)</v>
      </c>
      <c r="B24" t="str">
        <v>5è</v>
      </c>
      <c r="C24" t="str">
        <v>Equip 5</v>
      </c>
      <c r="D24">
        <v>3</v>
      </c>
      <c r="E24">
        <v>3</v>
      </c>
      <c r="F24">
        <v>3</v>
      </c>
      <c r="G24">
        <v>3</v>
      </c>
      <c r="H24">
        <v>4</v>
      </c>
      <c r="I24">
        <v>4</v>
      </c>
      <c r="J24">
        <v>3</v>
      </c>
      <c r="K24">
        <f>D24*0.1 + E24*0.15 + F24*0.2 + G24*0.15 + H24*0.15 + I24*0.1 + J24*0.15</f>
      </c>
      <c r="L24">
        <f>IF(K24&gt;=3.5,"AE",IF(K24&gt;=2.8,"AN",IF(K24&gt;=2,"AS","NA")))</f>
      </c>
    </row>
    <row r="25">
      <c r="A25" t="str">
        <v>Alumne 24 (6è - Noi)</v>
      </c>
      <c r="B25" t="str">
        <v>6è</v>
      </c>
      <c r="C25" t="str">
        <v>Equip 5</v>
      </c>
      <c r="D25">
        <v>4</v>
      </c>
      <c r="E25">
        <v>3</v>
      </c>
      <c r="F25">
        <v>4</v>
      </c>
      <c r="G25">
        <v>4</v>
      </c>
      <c r="H25">
        <v>3</v>
      </c>
      <c r="I25">
        <v>4</v>
      </c>
      <c r="J25">
        <v>4</v>
      </c>
      <c r="K25">
        <f>D25*0.1 + E25*0.15 + F25*0.2 + G25*0.15 + H25*0.15 + I25*0.1 + J25*0.15</f>
      </c>
      <c r="L25">
        <f>IF(K25&gt;=3.5,"AE",IF(K25&gt;=2.8,"AN",IF(K25&gt;=2,"AS","NA")))</f>
      </c>
    </row>
    <row r="26">
      <c r="A26" t="str">
        <v>Alumne 25 (5è - Noi)</v>
      </c>
      <c r="B26" t="str">
        <v>5è</v>
      </c>
      <c r="C26" t="str">
        <v>Equip 5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f>D26*0.1 + E26*0.15 + F26*0.2 + G26*0.15 + H26*0.15 + I26*0.1 + J26*0.15</f>
      </c>
      <c r="L26">
        <f>IF(K26&gt;=3.5,"AE",IF(K26&gt;=2.8,"AN",IF(K26&gt;=2,"AS","NA")))</f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</v>
      </c>
      <c r="B1" t="str">
        <v>Descripció Curricular</v>
      </c>
      <c r="C1" t="str">
        <v>Pes</v>
      </c>
      <c r="D1" t="str">
        <v>Nivell 1 (1-4) - Inicial</v>
      </c>
      <c r="E1" t="str">
        <v>Nivell 2 (5-6) - Mitjà</v>
      </c>
      <c r="F1" t="str">
        <v>Nivell 3 (7-8) - Avançat</v>
      </c>
      <c r="G1" t="str">
        <v>Nivell 4 (9-10) - Excel·lent</v>
      </c>
    </row>
    <row r="2">
      <c r="A2" t="str">
        <v>1.1 Hàbits i Escalfament</v>
      </c>
      <c r="B2" t="str">
        <v>Conèixer i aplicar amb autonomia rutines d'escalfament dinàmic, hàbits d'higiene postural i corporal, i hidratació adequada.</v>
      </c>
      <c r="C2" t="str">
        <v>10%</v>
      </c>
      <c r="D2" t="str">
        <v>No realitza l'escalfament o es distreu contínuament; descuida els hàbits bàsics d'higiene i hidratació post-sessió.</v>
      </c>
      <c r="E2" t="str">
        <v>Participa en l'escalfament imitant els companys, però sense iniciativa pròpia ni cura postural; requereix recordatoris d'higiene.</v>
      </c>
      <c r="F2" t="str">
        <v>Executa l'escalfament dinàmic de manera autònoma i responsable; compleix els hàbits d'higiene i hidratació de forma sistemàtica.</v>
      </c>
      <c r="G2" t="str">
        <v>Proposa i dirigeix exercicis d'escalfament específics a l'equip mixt, argumentant la importància de prevenir lesions i cuidant el material.</v>
      </c>
    </row>
    <row r="3">
      <c r="A3" t="str">
        <v>1.2 Autoregulació de l'Esforç i Borg</v>
      </c>
      <c r="B3" t="str">
        <v>Reconèixer i autoregular la intensitat de l'esforç mitjançant l'Escala de Borg infantil (1-10) i pauses actives de recuperació.</v>
      </c>
      <c r="C3" t="str">
        <v>15%</v>
      </c>
      <c r="D3" t="str">
        <v>Surt a màxima velocitat i s'atura esgotat; no identifica el seu nivell a l'Escala de Borg ni sap gestionar les pauses actives.</v>
      </c>
      <c r="E3" t="str">
        <v>Reconeix el cansament extrem, però li costa dosificar-se en partits curts; necessita ajuda per identificar la zona Borg 5-6.</v>
      </c>
      <c r="F3" t="str">
        <v>Regula el ritme aeròbic en les rotacions i partits de forma sostinguda (zona Borg 5-6); dialoga i manté la intensitat sense ofec.</v>
      </c>
      <c r="G3" t="str">
        <v>Domina la dosificació del ritme en qualsevol posició (atac o defensa); aconsella els companys sobre el control de l'esforç i les pauses actives.</v>
      </c>
    </row>
    <row r="4">
      <c r="A4" t="str">
        <v>2.1 Desmarcatge i Passada en Moviment</v>
      </c>
      <c r="B4" t="str">
        <v>Resoldre situacions motrius d'atac mitjançant desmarcatges a l'espai lliure, talls ràpids i passades precises en moviment sense caminar amb la pilota.</v>
      </c>
      <c r="C4" t="str">
        <v>20%</v>
      </c>
      <c r="D4" t="str">
        <v>Bota la pilota de manera reiterada en rebre; camina amb ella o fa passades imprecises sense mirar el company.</v>
      </c>
      <c r="E4" t="str">
        <v>Clava el peu de pivot però li costa trobar línies de passada; passa la pilota quan el company ja està aturat; desmarcatges lents.</v>
      </c>
      <c r="F4" t="str">
        <v>Aplica el peu de pivot amb seguretat; executa talls ràpids a l'espai lliure i fa passades precises a dues mans en moviment sense botar.</v>
      </c>
      <c r="G4" t="str">
        <v>Mostra una visió de joc extraordinària; connecta assistències de gran precisió al poste o als talls; s'anticipa a les línies de passada en defensa.</v>
      </c>
    </row>
    <row r="5">
      <c r="A5" t="str">
        <v>2.2 Tir 360° i Regla del Defensat</v>
      </c>
      <c r="B5" t="str">
        <v>Aplicar tècniques de llançament a cistella 360° (tir estàtic i en carrera) i respectar la regla del «defensat» en la presa de decisions.</v>
      </c>
      <c r="C5" t="str">
        <v>15%</v>
      </c>
      <c r="D5" t="str">
        <v>Llança a cistella estant clarament defensat; fa llançaments plans sense paràbola o sense orientació a l'anella.</v>
      </c>
      <c r="E5" t="str">
        <v>Tira amb paràbola adequada només des de davant del pal; dubta a l'hora de passar quan el defensor/a té el braç alçat.</v>
      </c>
      <c r="F5" t="str">
        <v>Executa el tir estàtic a 2 mans amb paràbola alta des de qualsevol quadrant (360°); respecta la regla del defensat i passa si està marcat.</v>
      </c>
      <c r="G5" t="str">
        <v>Domina el tir estàtic i l'entrada en 2 temps des de 360°; pren decisions tàctiques instantànies (passar vs. tirar) davant l'oposició legal.</v>
      </c>
    </row>
    <row r="6">
      <c r="A6" t="str">
        <v>3.1 Coeducació Real i Equip Mixt</v>
      </c>
      <c r="B6" t="str">
        <v>Col·laborar activament en equips mixtos paritaris (5è-6è), fomentant la coeducació, la participació equitativa de nois i noies i el rebuig d'estereotips sexistes.</v>
      </c>
      <c r="C6" t="str">
        <v>15%</v>
      </c>
      <c r="D6" t="str">
        <v>Monopolitza el joc o passa només als companys del mateix gènere/curs; mostra conductes excloents o menysté les noies.</v>
      </c>
      <c r="E6" t="str">
        <v>Col·labora amb l'equip mixt però tendeix a buscar primer els seus amics d'afinitat; participa en la coavaluació de forma passiva.</v>
      </c>
      <c r="F6" t="str">
        <v>Participa activament i solidària en l'equip paritari (nois i noies de 5è i 6è), repartint el joc de forma equitativa i donant suport mutu.</v>
      </c>
      <c r="G6" t="str">
        <v>Exerceix un lideratge coeducatiu exemplar; defensa amb passió que tothom toqui la pilota abans de marcar; resol petits conflictes amb empatia.</v>
      </c>
    </row>
    <row r="7">
      <c r="A7" t="str">
        <v>3.2 Joc Net i Arbitratge Compartit</v>
      </c>
      <c r="B7" t="str">
        <v>Mostrar respecte a les normes, assumir rols d'arbitratge compartit entre iguals i gestionar les emocions davant la victòria o la derrota.</v>
      </c>
      <c r="C7" t="str">
        <v>10%</v>
      </c>
      <c r="D7" t="str">
        <v>Comet faltes de contacte freqüents (empentes, manotades); discuteix les decisions dels àrbitres companys i no accepta l'error.</v>
      </c>
      <c r="E7" t="str">
        <v>Respecta les normes bàsiques si el mestre mira; li costa assumir el rol d'àrbitre amb seguretat; protesta puntualment.</v>
      </c>
      <c r="F7" t="str">
        <v>Mostra joc net escrupolós (zero contacte físic); accepta les decisions arbitrals amb respecte; arbitra amb equitat i rigor formatiu.</v>
      </c>
      <c r="G7" t="str">
        <v>Modela el joc net i la resolució pacífica a la pista; assumeix l'arbitratge amb autoritat assertiva, tranquil·litat pedagògica i imparcialitat.</v>
      </c>
    </row>
    <row r="8">
      <c r="A8" t="str">
        <v>4.1 Cultura del Korfbal i Selecció Catalana</v>
      </c>
      <c r="B8" t="str">
        <v>Conèixer l'origen del Korfbal com a esport coeducatiu i valorar el paper de la Selecció Catalana de Korfbal en l'àmbit esportiu internacional.</v>
      </c>
      <c r="C8" t="str">
        <v>15%</v>
      </c>
      <c r="D8" t="str">
        <v>Desconeix l'origen del Korfbal i mostra desinterès per la seva dimensió coeducativa o la representació catalana.</v>
      </c>
      <c r="E8" t="str">
        <v>Coneix que el Korfbal és un esport mixt, però no aprofundeix en la seva història ni en la Selecció Catalana.</v>
      </c>
      <c r="F8" t="str">
        <v>Reconeix la figura de Nico Broekhuysen (1902) i valora el paper històric de la Selecció Catalana de Korfbal a nivell internacional.</v>
      </c>
      <c r="G8" t="str">
        <v>Reflexiona críticament sobre com el Korfbal pot transformar l'esport escolar vers la igualtat real; transmet amb orgull la història del Korfbal a Catalunya.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Codi</v>
      </c>
      <c r="B1" t="str">
        <v>Descripció Curricular</v>
      </c>
      <c r="C1" t="str">
        <v>Competència Específica</v>
      </c>
      <c r="D1" t="str">
        <v>Pes</v>
      </c>
    </row>
    <row r="2">
      <c r="A2" t="str">
        <v>EF.CS.1.1</v>
      </c>
      <c r="B2" t="str">
        <v>1.1 Hàbits i Escalfament: Conèixer i aplicar amb autonomia rutines d'escalfament dinàmic, hàbits d'higiene postural i corporal, i hidratació adequada.</v>
      </c>
      <c r="C2" t="str">
        <v>CE1. Estil de vida actiu i saludable</v>
      </c>
      <c r="D2" t="str">
        <v>10%</v>
      </c>
    </row>
    <row r="3">
      <c r="A3" t="str">
        <v>EF.CS.1.2</v>
      </c>
      <c r="B3" t="str">
        <v>1.2 Autoregulació de l'Esforç i Borg: Reconèixer i autoregular la intensitat de l'esforç mitjançant l'Escala de Borg infantil (1-10) i pauses actives de recuperació.</v>
      </c>
      <c r="C3" t="str">
        <v>CE1. Estil de vida actiu i saludable</v>
      </c>
      <c r="D3" t="str">
        <v>15%</v>
      </c>
    </row>
    <row r="4">
      <c r="A4" t="str">
        <v>EF.CS.2.1</v>
      </c>
      <c r="B4" t="str">
        <v>2.1 Desmarcatge i Passada en Moviment: Resoldre situacions motrius d'atac mitjançant desmarcatges a l'espai lliure, talls ràpids i passades precises en moviment sense caminar amb la pilota.</v>
      </c>
      <c r="C4" t="str">
        <v>CE2. Resolució de situacions motrius</v>
      </c>
      <c r="D4" t="str">
        <v>20%</v>
      </c>
    </row>
    <row r="5">
      <c r="A5" t="str">
        <v>EF.CS.2.2</v>
      </c>
      <c r="B5" t="str">
        <v>2.2 Tir 360° i Regla del Defensat: Aplicar tècniques de llançament a cistella 360° (tir estàtic i en carrera) i respectar la regla del «defensat» en la presa de decisions.</v>
      </c>
      <c r="C5" t="str">
        <v>CE2. Resolució de situacions motrius</v>
      </c>
      <c r="D5" t="str">
        <v>15%</v>
      </c>
    </row>
    <row r="6">
      <c r="A6" t="str">
        <v>EF.CS.3.1</v>
      </c>
      <c r="B6" t="str">
        <v>3.1 Coeducació Real i Equip Mixt: Col·laborar activament en equips mixtos paritaris (5è-6è), fomentant la coeducació, la participació equitativa de nois i noies i el rebuig d'estereotips sexistes.</v>
      </c>
      <c r="C6" t="str">
        <v>CE3. Autoregulació emocional i cooperació</v>
      </c>
      <c r="D6" t="str">
        <v>15%</v>
      </c>
    </row>
    <row r="7">
      <c r="A7" t="str">
        <v>EF.CS.3.2</v>
      </c>
      <c r="B7" t="str">
        <v>3.2 Joc Net i Arbitratge Compartit: Mostrar respecte a les normes, assumir rols d'arbitratge compartit entre iguals i gestionar les emocions davant la victòria o la derrota.</v>
      </c>
      <c r="C7" t="str">
        <v>CE3. Autoregulació emocional i cooperació</v>
      </c>
      <c r="D7" t="str">
        <v>10%</v>
      </c>
    </row>
    <row r="8">
      <c r="A8" t="str">
        <v>EF.CS.4.1</v>
      </c>
      <c r="B8" t="str">
        <v>4.1 Cultura del Korfbal i Selecció Catalana: Conèixer l'origen del Korfbal com a esport coeducatiu i valorar el paper de la Selecció Catalana de Korfbal en l'àmbit esportiu internacional.</v>
      </c>
      <c r="C8" t="str">
        <v>CE4. Manifestacions de la cultura motriu</v>
      </c>
      <c r="D8" t="str">
        <v>15%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GUIA PAS A PAS PER A IMPORTAR A IDOCEO (IPAD / MAC)</v>
      </c>
    </row>
    <row r="2">
      <c r="A2" t="str">
        <v/>
      </c>
    </row>
    <row r="3">
      <c r="A3" t="str">
        <v>1. Creació del quadern de classe a iDoceo:</v>
      </c>
    </row>
    <row r="4">
      <c r="A4" t="str">
        <v xml:space="preserve">   - Obre iDoceo &gt; Exportar/Importar &gt; Importar arxiu CSV/XLS.</v>
      </c>
    </row>
    <row r="5">
      <c r="A5" t="str">
        <v xml:space="preserve">   - Tria el fitxer Columnes_Criteris_iDoceo.csv (o aquest mateix arxiu Excel pestanya 1).</v>
      </c>
    </row>
    <row r="6">
      <c r="A6" t="str">
        <v xml:space="preserve">   - Vincula amb la teva classe actual associant la columna "Alumne/a".</v>
      </c>
    </row>
    <row r="7">
      <c r="A7" t="str">
        <v/>
      </c>
    </row>
    <row r="8">
      <c r="A8" t="str">
        <v>2. Configuració dels selectors desplegables a pista:</v>
      </c>
    </row>
    <row r="9">
      <c r="A9" t="str">
        <v xml:space="preserve">   - Vés a Menú &gt; Tipus de nota i Rúbriques &gt; Importar.</v>
      </c>
    </row>
    <row r="10">
      <c r="A10" t="str">
        <v xml:space="preserve">   - Importa les 7 mini-rúbriques de la carpeta iDoceo/Rubriques_Individuals/.</v>
      </c>
    </row>
    <row r="11">
      <c r="A11" t="str">
        <v xml:space="preserve">   - A la capçalera de cada columna del quadern, assigna el tipus de nota corresponent.</v>
      </c>
    </row>
    <row r="12">
      <c r="A12" t="str">
        <v xml:space="preserve">   - A pista, en prémer una cel·la es desplegaran els 4 nivells de l'estàndard per avaluar amb un sol toc.</v>
      </c>
    </row>
    <row r="13">
      <c r="A13" t="str">
        <v/>
      </c>
    </row>
    <row r="14">
      <c r="A14" t="str">
        <v>3. Càlcul de la Qualificació Final:</v>
      </c>
    </row>
    <row r="15">
      <c r="A15" t="str">
        <v xml:space="preserve">   - Afegeix una columna de Càlcul &gt; Mitjana ponderada amb els pesos indicats (10%, 15%, 20%, 15%, 15%, 10%, 15%).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Qualificacions_Alumnat</vt:lpstr>
      <vt:lpstr>Matriu_Rubrica_Oficial</vt:lpstr>
      <vt:lpstr>Cataleg_Criteris_Decret175</vt:lpstr>
      <vt:lpstr>Instruccions_iDoceo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